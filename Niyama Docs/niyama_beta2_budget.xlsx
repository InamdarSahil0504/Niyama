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ahilinamdar/Desktop/Niyama/Niyama Docs/"/>
    </mc:Choice>
  </mc:AlternateContent>
  <xr:revisionPtr revIDLastSave="0" documentId="13_ncr:1_{7FD52A39-696D-FC41-90C9-3A6B356C560A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Summary" sheetId="1" r:id="rId1"/>
    <sheet name="Sheet1" sheetId="2" r:id="rId2"/>
    <sheet name="Revise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1" i="3" l="1"/>
  <c r="B41" i="3"/>
  <c r="C39" i="3"/>
  <c r="B39" i="3"/>
  <c r="C28" i="3"/>
  <c r="C30" i="3" s="1"/>
  <c r="B28" i="3"/>
  <c r="B30" i="3" s="1"/>
  <c r="C23" i="3"/>
  <c r="C38" i="3" s="1"/>
  <c r="B23" i="3"/>
  <c r="B38" i="3" s="1"/>
  <c r="C17" i="3"/>
  <c r="C36" i="3" s="1"/>
  <c r="B17" i="3"/>
  <c r="B31" i="3" s="1"/>
  <c r="C9" i="3"/>
  <c r="C35" i="3" s="1"/>
  <c r="B9" i="3"/>
  <c r="B35" i="3" s="1"/>
  <c r="C29" i="2"/>
  <c r="C42" i="2" s="1"/>
  <c r="B29" i="2"/>
  <c r="B42" i="2" s="1"/>
  <c r="C24" i="2"/>
  <c r="C39" i="2" s="1"/>
  <c r="B24" i="2"/>
  <c r="B39" i="2" s="1"/>
  <c r="C18" i="2"/>
  <c r="C37" i="2" s="1"/>
  <c r="B18" i="2"/>
  <c r="B37" i="2" s="1"/>
  <c r="C10" i="2"/>
  <c r="C40" i="2" s="1"/>
  <c r="B10" i="2"/>
  <c r="B36" i="2" s="1"/>
  <c r="C29" i="1"/>
  <c r="C31" i="1" s="1"/>
  <c r="B29" i="1"/>
  <c r="B42" i="1" s="1"/>
  <c r="C24" i="1"/>
  <c r="C39" i="1" s="1"/>
  <c r="B24" i="1"/>
  <c r="B39" i="1" s="1"/>
  <c r="C18" i="1"/>
  <c r="C37" i="1" s="1"/>
  <c r="B18" i="1"/>
  <c r="B37" i="1" s="1"/>
  <c r="C10" i="1"/>
  <c r="C36" i="1" s="1"/>
  <c r="B10" i="1"/>
  <c r="B36" i="1" s="1"/>
  <c r="C40" i="3" l="1"/>
  <c r="C42" i="3" s="1"/>
  <c r="B36" i="3"/>
  <c r="B40" i="3" s="1"/>
  <c r="B42" i="3" s="1"/>
  <c r="C31" i="3"/>
  <c r="C33" i="3" s="1"/>
  <c r="B32" i="3"/>
  <c r="B33" i="3" s="1"/>
  <c r="C32" i="3"/>
  <c r="B40" i="2"/>
  <c r="B41" i="2" s="1"/>
  <c r="B43" i="2" s="1"/>
  <c r="C36" i="2"/>
  <c r="C41" i="2" s="1"/>
  <c r="C43" i="2" s="1"/>
  <c r="B31" i="2"/>
  <c r="C31" i="2"/>
  <c r="B32" i="2"/>
  <c r="C32" i="2"/>
  <c r="B33" i="2"/>
  <c r="C33" i="2"/>
  <c r="B40" i="1"/>
  <c r="B41" i="1" s="1"/>
  <c r="B43" i="1" s="1"/>
  <c r="C40" i="1"/>
  <c r="C41" i="1" s="1"/>
  <c r="B31" i="1"/>
  <c r="B32" i="1"/>
  <c r="C32" i="1"/>
  <c r="C42" i="1"/>
  <c r="B33" i="1"/>
  <c r="C33" i="1"/>
  <c r="C34" i="2" l="1"/>
  <c r="B34" i="2"/>
  <c r="C43" i="1"/>
  <c r="C34" i="1"/>
  <c r="B34" i="1"/>
</calcChain>
</file>

<file path=xl/sharedStrings.xml><?xml version="1.0" encoding="utf-8"?>
<sst xmlns="http://schemas.openxmlformats.org/spreadsheetml/2006/main" count="265" uniqueCount="118">
  <si>
    <t>NIYAMA — BETA 2 BUDGET</t>
  </si>
  <si>
    <t>Item</t>
  </si>
  <si>
    <t>100 Users</t>
  </si>
  <si>
    <t>200 Users</t>
  </si>
  <si>
    <t>Notes</t>
  </si>
  <si>
    <t>ONE-TIME SETUP COSTS</t>
  </si>
  <si>
    <t>Delaware C-Corp (Stripe Atlas)</t>
  </si>
  <si>
    <t>Incorporation + registered agent Year 1</t>
  </si>
  <si>
    <t>Domain + Google Workspace (6 months)</t>
  </si>
  <si>
    <t>Domain ~$15, Workspace ~$85</t>
  </si>
  <si>
    <t>Figma Professional (6 months)</t>
  </si>
  <si>
    <t>$18/month for Design Lead</t>
  </si>
  <si>
    <t>Apple Developer Account</t>
  </si>
  <si>
    <t>Required for iOS App Store</t>
  </si>
  <si>
    <t>Google Play Developer Account</t>
  </si>
  <si>
    <t>One-time fee</t>
  </si>
  <si>
    <t>One-time subtotal</t>
  </si>
  <si>
    <t>MONTHLY INFRASTRUCTURE COSTS (per month)</t>
  </si>
  <si>
    <t>Vercel Pro</t>
  </si>
  <si>
    <t>Better performance and analytics</t>
  </si>
  <si>
    <t>Supabase Pro</t>
  </si>
  <si>
    <t>Required at scale for Beta 2</t>
  </si>
  <si>
    <t>Resend (email reminders)</t>
  </si>
  <si>
    <t>Free tier covers 3,000 emails/month</t>
  </si>
  <si>
    <t>GitHub</t>
  </si>
  <si>
    <t>Free tier sufficient</t>
  </si>
  <si>
    <t>Tremendous account</t>
  </si>
  <si>
    <t>No monthly fee — pay per payout</t>
  </si>
  <si>
    <t>Stripe fees (~3% of revenue)</t>
  </si>
  <si>
    <t>Per transaction on subscription revenue</t>
  </si>
  <si>
    <t>Monthly infrastructure subtotal</t>
  </si>
  <si>
    <t>REWARD PAYOUTS (per month — Beta 2 active reward period)</t>
  </si>
  <si>
    <t>Free tier payouts (40% qualify, avg $3.50)</t>
  </si>
  <si>
    <t>100 users: 24×$3.50 | 200 users: 48×$3.50</t>
  </si>
  <si>
    <t>Plus tier payouts (40% qualify, avg $7.00)</t>
  </si>
  <si>
    <t>100 users: 10×$7.00 | 200 users: 20×$7.00</t>
  </si>
  <si>
    <t>Premium tier payouts (40% qualify, avg $14.00)</t>
  </si>
  <si>
    <t>100 users: 6×$14.00 | 200 users: 12×$14.00</t>
  </si>
  <si>
    <t>Tremendous processing fees (3%)</t>
  </si>
  <si>
    <t>3% of total payouts</t>
  </si>
  <si>
    <t>Monthly reward subtotal</t>
  </si>
  <si>
    <t>SUBSCRIPTION REVENUE (per month)</t>
  </si>
  <si>
    <t>Free tier (60% of users — $0/month)</t>
  </si>
  <si>
    <t>60 users | 120 users</t>
  </si>
  <si>
    <t>Plus tier (25% of users — $4.99/month)</t>
  </si>
  <si>
    <t>25 users×$4.99 | 50 users×$4.99</t>
  </si>
  <si>
    <t>Premium tier (15% of users — $14.99/month)</t>
  </si>
  <si>
    <t>15 users×$14.99 | 30 users×$14.99</t>
  </si>
  <si>
    <t>Monthly revenue subtotal</t>
  </si>
  <si>
    <t>NET MONTHLY POSITION</t>
  </si>
  <si>
    <t>Subscription revenue</t>
  </si>
  <si>
    <t>Monthly income</t>
  </si>
  <si>
    <t>Infrastructure costs</t>
  </si>
  <si>
    <t>Monthly outgoings</t>
  </si>
  <si>
    <t>Reward payouts</t>
  </si>
  <si>
    <t>Net monthly position</t>
  </si>
  <si>
    <t>Positive = self-funding</t>
  </si>
  <si>
    <t>6-MONTH TOTAL BUDGET (4 months build + 2 months active Beta 2)</t>
  </si>
  <si>
    <t>One-time setup costs</t>
  </si>
  <si>
    <t>Paid once</t>
  </si>
  <si>
    <t>Infrastructure — 6 months</t>
  </si>
  <si>
    <t>6 months running costs</t>
  </si>
  <si>
    <t>Beta 1 reward payouts</t>
  </si>
  <si>
    <t>Existing Beta 1 — 20 users</t>
  </si>
  <si>
    <t>Beta 2 reward payouts — 2 months</t>
  </si>
  <si>
    <t>2 months of active rewards</t>
  </si>
  <si>
    <t>Miscellaneous buffer (10%)</t>
  </si>
  <si>
    <t>10% contingency</t>
  </si>
  <si>
    <t>Gross 6-month cost</t>
  </si>
  <si>
    <t>Before revenue offset</t>
  </si>
  <si>
    <t>Less: subscription revenue (2 months)</t>
  </si>
  <si>
    <t>2 months Beta 2 active revenue</t>
  </si>
  <si>
    <t>NET COST TO FOUNDER</t>
  </si>
  <si>
    <t>Your out-of-pocket cost</t>
  </si>
  <si>
    <t>KEY ASSUMPTIONS</t>
  </si>
  <si>
    <t xml:space="preserve">  • Tier mix: 60% Free / 25% Plus / 15% Premium</t>
  </si>
  <si>
    <t xml:space="preserve">  • 40% of users qualify for rewards (meet 7+ successful days)</t>
  </si>
  <si>
    <t xml:space="preserve">  • Average reward: Free $3.50 | Plus $7.00 | Premium $14.00</t>
  </si>
  <si>
    <t xml:space="preserve">  • Blue cells = input assumptions you can change</t>
  </si>
  <si>
    <t xml:space="preserve">  • No attorney fees — solo founder for Beta 1 and Beta 2</t>
  </si>
  <si>
    <t xml:space="preserve">  • Stripe and Tremendous integrated by Beta 2 (no external dev cost)</t>
  </si>
  <si>
    <t>Financial plan through Beta 2 launch — Solo Founder</t>
  </si>
  <si>
    <t>NIYAMA — REVISED BETA 2 BUDGET</t>
  </si>
  <si>
    <t>MONTHLY INFRASTRUCTURE (per month)</t>
  </si>
  <si>
    <t>Daily backups — essential for real user data</t>
  </si>
  <si>
    <t>Vercel (free tier)</t>
  </si>
  <si>
    <t>Free tier sufficient for 200 users</t>
  </si>
  <si>
    <t>Free tier — 3,000 emails/month</t>
  </si>
  <si>
    <t>No monthly fee — pay per payout only</t>
  </si>
  <si>
    <t>3% per transaction on subscriptions</t>
  </si>
  <si>
    <t>3% of total reward payouts</t>
  </si>
  <si>
    <t>Free tier — 60% of users ($0/month)</t>
  </si>
  <si>
    <t>Plus tier — 25% of users ($4.99/month)</t>
  </si>
  <si>
    <t>25×$4.99 | 50×$4.99</t>
  </si>
  <si>
    <t>Premium tier — 15% of users ($14.99/month)</t>
  </si>
  <si>
    <t>15×$14.99 | 30×$14.99</t>
  </si>
  <si>
    <t>Existing Beta 1 — 20 users honor system</t>
  </si>
  <si>
    <t>2 active reward months</t>
  </si>
  <si>
    <t>Your out-of-pocket cost over 6 months</t>
  </si>
  <si>
    <t>ITEMS REMOVED FROM PREVIOUS BUDGET</t>
  </si>
  <si>
    <t>($108)</t>
  </si>
  <si>
    <t>Not needed — solo founder, designing in code</t>
  </si>
  <si>
    <t>Vercel Pro (6 months)</t>
  </si>
  <si>
    <t>($120)</t>
  </si>
  <si>
    <t>Attorney review fees</t>
  </si>
  <si>
    <t>($750)</t>
  </si>
  <si>
    <t>No co-founder agreement needed yet</t>
  </si>
  <si>
    <t>Total savings vs original budget</t>
  </si>
  <si>
    <t>($978)</t>
  </si>
  <si>
    <t>Removed from 6-month total</t>
  </si>
  <si>
    <t xml:space="preserve">  •  Tier mix: 60% Free / 25% Plus / 15% Premium</t>
  </si>
  <si>
    <t xml:space="preserve">  •  40% of users qualify for rewards (meet 7+ successful days minimum)</t>
  </si>
  <si>
    <t xml:space="preserve">  •  Average reward paid: Free $3.50 | Plus $7.00 | Premium $14.00</t>
  </si>
  <si>
    <t xml:space="preserve">  •  Blue cells = hardcoded inputs you can change to model different scenarios</t>
  </si>
  <si>
    <t xml:space="preserve">  •  Stripe and Tremendous integrated by you — no external development cost</t>
  </si>
  <si>
    <t xml:space="preserve">  •  Mobile app built by you using Capacitor — no external development cost</t>
  </si>
  <si>
    <t xml:space="preserve">  •  Beta 1 runs on honor system — $300 estimated manual reward budget</t>
  </si>
  <si>
    <t>Solo founder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</si>
</sst>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&quot;($&quot;#,##0.00\);\-"/>
    <numFmt numFmtId="165" formatCode="\$#,##0.00"/>
    <numFmt numFmtId="166" formatCode="&quot;($&quot;#,##0.00\)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5A8A78"/>
      <name val="Arial"/>
      <family val="2"/>
    </font>
    <font>
      <b/>
      <sz val="10"/>
      <color rgb="FFD4735F"/>
      <name val="Arial"/>
      <family val="2"/>
    </font>
    <font>
      <b/>
      <sz val="11"/>
      <color rgb="FFFFFFFF"/>
      <name val="Arial"/>
      <family val="2"/>
    </font>
    <font>
      <sz val="10"/>
      <color rgb="FF5A8A78"/>
      <name val="Arial"/>
      <family val="2"/>
    </font>
    <font>
      <b/>
      <sz val="12"/>
      <color rgb="FFFFFFFF"/>
      <name val="Arial"/>
      <family val="2"/>
    </font>
    <font>
      <sz val="10"/>
      <color rgb="FFD4735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5A8A78"/>
        <bgColor rgb="FF6B7280"/>
      </patternFill>
    </fill>
    <fill>
      <patternFill patternType="solid">
        <fgColor rgb="FF1A1A1A"/>
        <bgColor rgb="FF333300"/>
      </patternFill>
    </fill>
    <fill>
      <patternFill patternType="solid">
        <fgColor rgb="FFFFFFFF"/>
        <bgColor rgb="FFF4F7F5"/>
      </patternFill>
    </fill>
    <fill>
      <patternFill patternType="solid">
        <fgColor rgb="FFEAF2EE"/>
        <bgColor rgb="FFF4F7F5"/>
      </patternFill>
    </fill>
    <fill>
      <patternFill patternType="solid">
        <fgColor rgb="FFFCEEE9"/>
        <bgColor rgb="FFF4F7F5"/>
      </patternFill>
    </fill>
    <fill>
      <patternFill patternType="solid">
        <fgColor rgb="FFD4735F"/>
        <bgColor rgb="FFFF6600"/>
      </patternFill>
    </fill>
    <fill>
      <patternFill patternType="solid">
        <fgColor rgb="FFF4F7F5"/>
        <bgColor rgb="FFEAF2EE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8" borderId="0" xfId="0" applyFont="1" applyFill="1"/>
    <xf numFmtId="0" fontId="3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indent="1"/>
    </xf>
    <xf numFmtId="165" fontId="7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center" indent="1"/>
    </xf>
    <xf numFmtId="165" fontId="8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164" fontId="9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indent="1"/>
    </xf>
    <xf numFmtId="165" fontId="11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2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A8A78"/>
      <rgbColor rgb="FF9999FF"/>
      <rgbColor rgb="FF993366"/>
      <rgbColor rgb="FFF4F7F5"/>
      <rgbColor rgb="FFEAF2EE"/>
      <rgbColor rgb="FF660066"/>
      <rgbColor rgb="FFD4735F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E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showGridLines="0" zoomScale="181" zoomScaleNormal="100" workbookViewId="0">
      <selection activeCell="A45" sqref="A45:XFD51"/>
    </sheetView>
  </sheetViews>
  <sheetFormatPr baseColWidth="10" defaultColWidth="8.6640625" defaultRowHeight="15" x14ac:dyDescent="0.2"/>
  <cols>
    <col min="1" max="1" width="39.5" bestFit="1" customWidth="1"/>
    <col min="2" max="2" width="10.33203125" bestFit="1" customWidth="1"/>
    <col min="3" max="3" width="10.6640625" bestFit="1" customWidth="1"/>
    <col min="4" max="4" width="31.1640625" bestFit="1" customWidth="1"/>
  </cols>
  <sheetData>
    <row r="1" spans="1:4" ht="39.75" customHeight="1" x14ac:dyDescent="0.2">
      <c r="A1" s="5" t="s">
        <v>0</v>
      </c>
      <c r="B1" s="5"/>
      <c r="C1" s="5"/>
      <c r="D1" s="5"/>
    </row>
    <row r="2" spans="1:4" ht="19.5" customHeight="1" x14ac:dyDescent="0.2">
      <c r="A2" s="4" t="s">
        <v>81</v>
      </c>
      <c r="B2" s="4"/>
      <c r="C2" s="4"/>
      <c r="D2" s="4"/>
    </row>
    <row r="3" spans="1:4" x14ac:dyDescent="0.2">
      <c r="A3" s="6" t="s">
        <v>1</v>
      </c>
      <c r="B3" s="6" t="s">
        <v>2</v>
      </c>
      <c r="C3" s="6" t="s">
        <v>3</v>
      </c>
      <c r="D3" s="6" t="s">
        <v>4</v>
      </c>
    </row>
    <row r="4" spans="1:4" ht="21.75" customHeight="1" x14ac:dyDescent="0.2">
      <c r="A4" s="3" t="s">
        <v>5</v>
      </c>
      <c r="B4" s="3"/>
      <c r="C4" s="3"/>
      <c r="D4" s="3"/>
    </row>
    <row r="5" spans="1:4" ht="21.75" customHeight="1" x14ac:dyDescent="0.2">
      <c r="A5" s="7" t="s">
        <v>6</v>
      </c>
      <c r="B5" s="8">
        <v>500</v>
      </c>
      <c r="C5" s="8">
        <v>500</v>
      </c>
      <c r="D5" s="9" t="s">
        <v>7</v>
      </c>
    </row>
    <row r="6" spans="1:4" ht="18" customHeight="1" x14ac:dyDescent="0.2">
      <c r="A6" s="7" t="s">
        <v>8</v>
      </c>
      <c r="B6" s="8">
        <v>100</v>
      </c>
      <c r="C6" s="8">
        <v>100</v>
      </c>
      <c r="D6" s="9" t="s">
        <v>9</v>
      </c>
    </row>
    <row r="7" spans="1:4" ht="18" customHeight="1" x14ac:dyDescent="0.2">
      <c r="A7" s="7" t="s">
        <v>10</v>
      </c>
      <c r="B7" s="8">
        <v>108</v>
      </c>
      <c r="C7" s="8">
        <v>108</v>
      </c>
      <c r="D7" s="9" t="s">
        <v>11</v>
      </c>
    </row>
    <row r="8" spans="1:4" ht="18" customHeight="1" x14ac:dyDescent="0.2">
      <c r="A8" s="7" t="s">
        <v>12</v>
      </c>
      <c r="B8" s="8">
        <v>99</v>
      </c>
      <c r="C8" s="8">
        <v>99</v>
      </c>
      <c r="D8" s="9" t="s">
        <v>13</v>
      </c>
    </row>
    <row r="9" spans="1:4" ht="18" customHeight="1" x14ac:dyDescent="0.2">
      <c r="A9" s="7" t="s">
        <v>14</v>
      </c>
      <c r="B9" s="8">
        <v>25</v>
      </c>
      <c r="C9" s="8">
        <v>25</v>
      </c>
      <c r="D9" s="9" t="s">
        <v>15</v>
      </c>
    </row>
    <row r="10" spans="1:4" ht="18" customHeight="1" x14ac:dyDescent="0.2">
      <c r="A10" s="10" t="s">
        <v>16</v>
      </c>
      <c r="B10" s="11">
        <f>SUM(B5:B9)</f>
        <v>832</v>
      </c>
      <c r="C10" s="11">
        <f>SUM(C5:C9)</f>
        <v>832</v>
      </c>
      <c r="D10" s="12"/>
    </row>
    <row r="11" spans="1:4" ht="19.5" customHeight="1" x14ac:dyDescent="0.2">
      <c r="A11" s="3" t="s">
        <v>17</v>
      </c>
      <c r="B11" s="3"/>
      <c r="C11" s="3"/>
      <c r="D11" s="3"/>
    </row>
    <row r="12" spans="1:4" ht="21.75" customHeight="1" x14ac:dyDescent="0.2">
      <c r="A12" s="7" t="s">
        <v>18</v>
      </c>
      <c r="B12" s="8">
        <v>20</v>
      </c>
      <c r="C12" s="8">
        <v>20</v>
      </c>
      <c r="D12" s="9" t="s">
        <v>19</v>
      </c>
    </row>
    <row r="13" spans="1:4" ht="18" customHeight="1" x14ac:dyDescent="0.2">
      <c r="A13" s="7" t="s">
        <v>20</v>
      </c>
      <c r="B13" s="8">
        <v>25</v>
      </c>
      <c r="C13" s="8">
        <v>25</v>
      </c>
      <c r="D13" s="9" t="s">
        <v>21</v>
      </c>
    </row>
    <row r="14" spans="1:4" ht="18" customHeight="1" x14ac:dyDescent="0.2">
      <c r="A14" s="7" t="s">
        <v>22</v>
      </c>
      <c r="B14" s="8">
        <v>0</v>
      </c>
      <c r="C14" s="8">
        <v>0</v>
      </c>
      <c r="D14" s="9" t="s">
        <v>23</v>
      </c>
    </row>
    <row r="15" spans="1:4" ht="18" customHeight="1" x14ac:dyDescent="0.2">
      <c r="A15" s="7" t="s">
        <v>24</v>
      </c>
      <c r="B15" s="8">
        <v>0</v>
      </c>
      <c r="C15" s="8">
        <v>0</v>
      </c>
      <c r="D15" s="9" t="s">
        <v>25</v>
      </c>
    </row>
    <row r="16" spans="1:4" ht="18" customHeight="1" x14ac:dyDescent="0.2">
      <c r="A16" s="7" t="s">
        <v>26</v>
      </c>
      <c r="B16" s="8">
        <v>0</v>
      </c>
      <c r="C16" s="8">
        <v>0</v>
      </c>
      <c r="D16" s="9" t="s">
        <v>27</v>
      </c>
    </row>
    <row r="17" spans="1:4" ht="18" customHeight="1" x14ac:dyDescent="0.2">
      <c r="A17" s="7" t="s">
        <v>28</v>
      </c>
      <c r="B17" s="8">
        <v>10.49</v>
      </c>
      <c r="C17" s="8">
        <v>20.98</v>
      </c>
      <c r="D17" s="9" t="s">
        <v>29</v>
      </c>
    </row>
    <row r="18" spans="1:4" ht="18" customHeight="1" x14ac:dyDescent="0.2">
      <c r="A18" s="10" t="s">
        <v>30</v>
      </c>
      <c r="B18" s="11">
        <f>SUM(B12:B17)</f>
        <v>55.49</v>
      </c>
      <c r="C18" s="11">
        <f>SUM(C12:C17)</f>
        <v>65.98</v>
      </c>
      <c r="D18" s="12"/>
    </row>
    <row r="19" spans="1:4" ht="19.5" customHeight="1" x14ac:dyDescent="0.2">
      <c r="A19" s="3" t="s">
        <v>31</v>
      </c>
      <c r="B19" s="3"/>
      <c r="C19" s="3"/>
      <c r="D19" s="3"/>
    </row>
    <row r="20" spans="1:4" ht="21.75" customHeight="1" x14ac:dyDescent="0.2">
      <c r="A20" s="7" t="s">
        <v>32</v>
      </c>
      <c r="B20" s="8">
        <v>84</v>
      </c>
      <c r="C20" s="8">
        <v>168</v>
      </c>
      <c r="D20" s="9" t="s">
        <v>33</v>
      </c>
    </row>
    <row r="21" spans="1:4" ht="18" customHeight="1" x14ac:dyDescent="0.2">
      <c r="A21" s="7" t="s">
        <v>34</v>
      </c>
      <c r="B21" s="8">
        <v>70</v>
      </c>
      <c r="C21" s="8">
        <v>140</v>
      </c>
      <c r="D21" s="9" t="s">
        <v>35</v>
      </c>
    </row>
    <row r="22" spans="1:4" ht="18" customHeight="1" x14ac:dyDescent="0.2">
      <c r="A22" s="7" t="s">
        <v>36</v>
      </c>
      <c r="B22" s="8">
        <v>84</v>
      </c>
      <c r="C22" s="8">
        <v>168</v>
      </c>
      <c r="D22" s="9" t="s">
        <v>37</v>
      </c>
    </row>
    <row r="23" spans="1:4" ht="18" customHeight="1" x14ac:dyDescent="0.2">
      <c r="A23" s="7" t="s">
        <v>38</v>
      </c>
      <c r="B23" s="8">
        <v>7.14</v>
      </c>
      <c r="C23" s="8">
        <v>14.28</v>
      </c>
      <c r="D23" s="9" t="s">
        <v>39</v>
      </c>
    </row>
    <row r="24" spans="1:4" ht="18" customHeight="1" x14ac:dyDescent="0.2">
      <c r="A24" s="13" t="s">
        <v>40</v>
      </c>
      <c r="B24" s="14">
        <f>SUM(B20:B23)</f>
        <v>245.14</v>
      </c>
      <c r="C24" s="14">
        <f>SUM(C20:C23)</f>
        <v>490.28</v>
      </c>
      <c r="D24" s="15"/>
    </row>
    <row r="25" spans="1:4" ht="19.5" customHeight="1" x14ac:dyDescent="0.2">
      <c r="A25" s="3" t="s">
        <v>41</v>
      </c>
      <c r="B25" s="3"/>
      <c r="C25" s="3"/>
      <c r="D25" s="3"/>
    </row>
    <row r="26" spans="1:4" ht="21.75" customHeight="1" x14ac:dyDescent="0.2">
      <c r="A26" s="7" t="s">
        <v>42</v>
      </c>
      <c r="B26" s="8">
        <v>0</v>
      </c>
      <c r="C26" s="8">
        <v>0</v>
      </c>
      <c r="D26" s="9" t="s">
        <v>43</v>
      </c>
    </row>
    <row r="27" spans="1:4" ht="18" customHeight="1" x14ac:dyDescent="0.2">
      <c r="A27" s="7" t="s">
        <v>44</v>
      </c>
      <c r="B27" s="8">
        <v>124.75</v>
      </c>
      <c r="C27" s="8">
        <v>249.5</v>
      </c>
      <c r="D27" s="9" t="s">
        <v>45</v>
      </c>
    </row>
    <row r="28" spans="1:4" ht="18" customHeight="1" x14ac:dyDescent="0.2">
      <c r="A28" s="7" t="s">
        <v>46</v>
      </c>
      <c r="B28" s="8">
        <v>224.85</v>
      </c>
      <c r="C28" s="8">
        <v>449.7</v>
      </c>
      <c r="D28" s="9" t="s">
        <v>47</v>
      </c>
    </row>
    <row r="29" spans="1:4" ht="18" customHeight="1" x14ac:dyDescent="0.2">
      <c r="A29" s="10" t="s">
        <v>48</v>
      </c>
      <c r="B29" s="11">
        <f>SUM(B26:B28)</f>
        <v>349.6</v>
      </c>
      <c r="C29" s="11">
        <f>SUM(C26:C28)</f>
        <v>699.2</v>
      </c>
      <c r="D29" s="12"/>
    </row>
    <row r="30" spans="1:4" ht="19.5" customHeight="1" x14ac:dyDescent="0.2">
      <c r="A30" s="3" t="s">
        <v>49</v>
      </c>
      <c r="B30" s="3"/>
      <c r="C30" s="3"/>
      <c r="D30" s="3"/>
    </row>
    <row r="31" spans="1:4" ht="21.75" customHeight="1" x14ac:dyDescent="0.2">
      <c r="A31" s="7" t="s">
        <v>50</v>
      </c>
      <c r="B31" s="16">
        <f>B29</f>
        <v>349.6</v>
      </c>
      <c r="C31" s="16">
        <f>C29</f>
        <v>699.2</v>
      </c>
      <c r="D31" s="9" t="s">
        <v>51</v>
      </c>
    </row>
    <row r="32" spans="1:4" ht="18" customHeight="1" x14ac:dyDescent="0.2">
      <c r="A32" s="7" t="s">
        <v>52</v>
      </c>
      <c r="B32" s="16">
        <f>-B18</f>
        <v>-55.49</v>
      </c>
      <c r="C32" s="16">
        <f>-C18</f>
        <v>-65.98</v>
      </c>
      <c r="D32" s="9" t="s">
        <v>53</v>
      </c>
    </row>
    <row r="33" spans="1:4" ht="18" customHeight="1" x14ac:dyDescent="0.2">
      <c r="A33" s="7" t="s">
        <v>54</v>
      </c>
      <c r="B33" s="16">
        <f>-B24</f>
        <v>-245.14</v>
      </c>
      <c r="C33" s="16">
        <f>-C24</f>
        <v>-490.28</v>
      </c>
      <c r="D33" s="9" t="s">
        <v>53</v>
      </c>
    </row>
    <row r="34" spans="1:4" ht="18" customHeight="1" x14ac:dyDescent="0.2">
      <c r="A34" s="17" t="s">
        <v>55</v>
      </c>
      <c r="B34" s="18">
        <f>SUM(B31:B33)</f>
        <v>48.970000000000027</v>
      </c>
      <c r="C34" s="18">
        <f>SUM(C31:C33)</f>
        <v>142.94000000000005</v>
      </c>
      <c r="D34" s="19" t="s">
        <v>56</v>
      </c>
    </row>
    <row r="35" spans="1:4" ht="21.75" customHeight="1" x14ac:dyDescent="0.2">
      <c r="A35" s="3" t="s">
        <v>57</v>
      </c>
      <c r="B35" s="3"/>
      <c r="C35" s="3"/>
      <c r="D35" s="3"/>
    </row>
    <row r="36" spans="1:4" ht="21.75" customHeight="1" x14ac:dyDescent="0.2">
      <c r="A36" s="7" t="s">
        <v>58</v>
      </c>
      <c r="B36" s="20">
        <f>B10</f>
        <v>832</v>
      </c>
      <c r="C36" s="20">
        <f>C10</f>
        <v>832</v>
      </c>
      <c r="D36" s="9" t="s">
        <v>59</v>
      </c>
    </row>
    <row r="37" spans="1:4" ht="18" customHeight="1" x14ac:dyDescent="0.2">
      <c r="A37" s="7" t="s">
        <v>60</v>
      </c>
      <c r="B37" s="20">
        <f>B18*6</f>
        <v>332.94</v>
      </c>
      <c r="C37" s="20">
        <f>C18*6</f>
        <v>395.88</v>
      </c>
      <c r="D37" s="9" t="s">
        <v>61</v>
      </c>
    </row>
    <row r="38" spans="1:4" ht="18" customHeight="1" x14ac:dyDescent="0.2">
      <c r="A38" s="7" t="s">
        <v>62</v>
      </c>
      <c r="B38" s="21">
        <v>300</v>
      </c>
      <c r="C38" s="21">
        <v>300</v>
      </c>
      <c r="D38" s="9" t="s">
        <v>63</v>
      </c>
    </row>
    <row r="39" spans="1:4" ht="18" customHeight="1" x14ac:dyDescent="0.2">
      <c r="A39" s="7" t="s">
        <v>64</v>
      </c>
      <c r="B39" s="20">
        <f>B24*2</f>
        <v>490.28</v>
      </c>
      <c r="C39" s="20">
        <f>C24*2</f>
        <v>980.56</v>
      </c>
      <c r="D39" s="9" t="s">
        <v>65</v>
      </c>
    </row>
    <row r="40" spans="1:4" ht="18" customHeight="1" x14ac:dyDescent="0.2">
      <c r="A40" s="7" t="s">
        <v>66</v>
      </c>
      <c r="B40" s="20">
        <f>(B10+B18*6+300+B24*2)*0.1</f>
        <v>195.52200000000002</v>
      </c>
      <c r="C40" s="20">
        <f>(C10+C18*6+300+C24*2)*0.1</f>
        <v>250.84400000000002</v>
      </c>
      <c r="D40" s="9" t="s">
        <v>67</v>
      </c>
    </row>
    <row r="41" spans="1:4" ht="18" customHeight="1" x14ac:dyDescent="0.2">
      <c r="A41" s="13" t="s">
        <v>68</v>
      </c>
      <c r="B41" s="14">
        <f>SUM(B36:B40)</f>
        <v>2150.7420000000002</v>
      </c>
      <c r="C41" s="14">
        <f>SUM(C36:C40)</f>
        <v>2759.2840000000001</v>
      </c>
      <c r="D41" s="15" t="s">
        <v>69</v>
      </c>
    </row>
    <row r="42" spans="1:4" ht="19.5" customHeight="1" x14ac:dyDescent="0.2">
      <c r="A42" s="7" t="s">
        <v>70</v>
      </c>
      <c r="B42" s="22">
        <f>-B29*2</f>
        <v>-699.2</v>
      </c>
      <c r="C42" s="22">
        <f>-C29*2</f>
        <v>-1398.4</v>
      </c>
      <c r="D42" s="9" t="s">
        <v>71</v>
      </c>
    </row>
    <row r="43" spans="1:4" ht="18" customHeight="1" x14ac:dyDescent="0.2">
      <c r="A43" s="23" t="s">
        <v>72</v>
      </c>
      <c r="B43" s="24">
        <f>B41+B42</f>
        <v>1451.5420000000001</v>
      </c>
      <c r="C43" s="24">
        <f>C41+C42</f>
        <v>1360.884</v>
      </c>
      <c r="D43" s="25" t="s">
        <v>73</v>
      </c>
    </row>
    <row r="44" spans="1:4" ht="24" customHeight="1" x14ac:dyDescent="0.2"/>
    <row r="45" spans="1:4" x14ac:dyDescent="0.2">
      <c r="A45" s="2" t="s">
        <v>74</v>
      </c>
      <c r="B45" s="2"/>
      <c r="C45" s="2"/>
      <c r="D45" s="2"/>
    </row>
    <row r="46" spans="1:4" x14ac:dyDescent="0.2">
      <c r="A46" s="1" t="s">
        <v>75</v>
      </c>
      <c r="B46" s="1"/>
      <c r="C46" s="1"/>
      <c r="D46" s="1"/>
    </row>
    <row r="47" spans="1:4" ht="15.75" customHeight="1" x14ac:dyDescent="0.2">
      <c r="A47" s="1" t="s">
        <v>76</v>
      </c>
      <c r="B47" s="1"/>
      <c r="C47" s="1"/>
      <c r="D47" s="1"/>
    </row>
    <row r="48" spans="1:4" ht="15.75" customHeight="1" x14ac:dyDescent="0.2">
      <c r="A48" s="1" t="s">
        <v>77</v>
      </c>
      <c r="B48" s="1"/>
      <c r="C48" s="1"/>
      <c r="D48" s="1"/>
    </row>
    <row r="49" spans="1:4" ht="15.75" customHeight="1" x14ac:dyDescent="0.2">
      <c r="A49" s="1" t="s">
        <v>78</v>
      </c>
      <c r="B49" s="1"/>
      <c r="C49" s="1"/>
      <c r="D49" s="1"/>
    </row>
    <row r="50" spans="1:4" ht="15.75" customHeight="1" x14ac:dyDescent="0.2">
      <c r="A50" s="1" t="s">
        <v>79</v>
      </c>
      <c r="B50" s="1"/>
      <c r="C50" s="1"/>
      <c r="D50" s="1"/>
    </row>
    <row r="51" spans="1:4" ht="15.75" customHeight="1" x14ac:dyDescent="0.2">
      <c r="A51" s="1" t="s">
        <v>80</v>
      </c>
      <c r="B51" s="1"/>
      <c r="C51" s="1"/>
      <c r="D51" s="1"/>
    </row>
    <row r="52" spans="1:4" ht="15.75" customHeight="1" x14ac:dyDescent="0.2"/>
  </sheetData>
  <mergeCells count="15">
    <mergeCell ref="A47:D47"/>
    <mergeCell ref="A48:D48"/>
    <mergeCell ref="A49:D49"/>
    <mergeCell ref="A50:D50"/>
    <mergeCell ref="A51:D51"/>
    <mergeCell ref="A25:D25"/>
    <mergeCell ref="A30:D30"/>
    <mergeCell ref="A35:D35"/>
    <mergeCell ref="A45:D45"/>
    <mergeCell ref="A46:D46"/>
    <mergeCell ref="A1:D1"/>
    <mergeCell ref="A2:D2"/>
    <mergeCell ref="A4:D4"/>
    <mergeCell ref="A11:D11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8731-B9E4-1345-A59B-C2114F066E2F}">
  <dimension ref="A1:D51"/>
  <sheetViews>
    <sheetView topLeftCell="A6" zoomScale="219" workbookViewId="0">
      <selection activeCell="E36" sqref="E36"/>
    </sheetView>
  </sheetViews>
  <sheetFormatPr baseColWidth="10" defaultRowHeight="15" x14ac:dyDescent="0.2"/>
  <cols>
    <col min="1" max="1" width="39.5" bestFit="1" customWidth="1"/>
    <col min="2" max="2" width="10.33203125" bestFit="1" customWidth="1"/>
    <col min="3" max="3" width="10.6640625" bestFit="1" customWidth="1"/>
    <col min="4" max="4" width="31.1640625" bestFit="1" customWidth="1"/>
  </cols>
  <sheetData>
    <row r="1" spans="1:4" ht="18" x14ac:dyDescent="0.2">
      <c r="A1" s="5" t="s">
        <v>0</v>
      </c>
      <c r="B1" s="5"/>
      <c r="C1" s="5"/>
      <c r="D1" s="5"/>
    </row>
    <row r="2" spans="1:4" x14ac:dyDescent="0.2">
      <c r="A2" s="4" t="s">
        <v>81</v>
      </c>
      <c r="B2" s="4"/>
      <c r="C2" s="4"/>
      <c r="D2" s="4"/>
    </row>
    <row r="3" spans="1:4" x14ac:dyDescent="0.2">
      <c r="A3" s="6" t="s">
        <v>1</v>
      </c>
      <c r="B3" s="6" t="s">
        <v>2</v>
      </c>
      <c r="C3" s="6" t="s">
        <v>3</v>
      </c>
      <c r="D3" s="6" t="s">
        <v>4</v>
      </c>
    </row>
    <row r="4" spans="1:4" x14ac:dyDescent="0.2">
      <c r="A4" s="3" t="s">
        <v>5</v>
      </c>
      <c r="B4" s="3"/>
      <c r="C4" s="3"/>
      <c r="D4" s="3"/>
    </row>
    <row r="5" spans="1:4" x14ac:dyDescent="0.2">
      <c r="A5" s="7" t="s">
        <v>6</v>
      </c>
      <c r="B5" s="8">
        <v>500</v>
      </c>
      <c r="C5" s="8">
        <v>500</v>
      </c>
      <c r="D5" s="9" t="s">
        <v>7</v>
      </c>
    </row>
    <row r="6" spans="1:4" x14ac:dyDescent="0.2">
      <c r="A6" s="7" t="s">
        <v>8</v>
      </c>
      <c r="B6" s="8">
        <v>100</v>
      </c>
      <c r="C6" s="8">
        <v>100</v>
      </c>
      <c r="D6" s="9" t="s">
        <v>9</v>
      </c>
    </row>
    <row r="7" spans="1:4" x14ac:dyDescent="0.2">
      <c r="A7" s="7" t="s">
        <v>10</v>
      </c>
      <c r="B7" s="8">
        <v>0</v>
      </c>
      <c r="C7" s="8">
        <v>0</v>
      </c>
      <c r="D7" s="9" t="s">
        <v>11</v>
      </c>
    </row>
    <row r="8" spans="1:4" x14ac:dyDescent="0.2">
      <c r="A8" s="7" t="s">
        <v>12</v>
      </c>
      <c r="B8" s="8">
        <v>99</v>
      </c>
      <c r="C8" s="8">
        <v>99</v>
      </c>
      <c r="D8" s="9" t="s">
        <v>13</v>
      </c>
    </row>
    <row r="9" spans="1:4" x14ac:dyDescent="0.2">
      <c r="A9" s="7" t="s">
        <v>14</v>
      </c>
      <c r="B9" s="8">
        <v>25</v>
      </c>
      <c r="C9" s="8">
        <v>25</v>
      </c>
      <c r="D9" s="9" t="s">
        <v>15</v>
      </c>
    </row>
    <row r="10" spans="1:4" x14ac:dyDescent="0.2">
      <c r="A10" s="10" t="s">
        <v>16</v>
      </c>
      <c r="B10" s="11">
        <f>SUM(B5:B9)</f>
        <v>724</v>
      </c>
      <c r="C10" s="11">
        <f>SUM(C5:C9)</f>
        <v>724</v>
      </c>
      <c r="D10" s="12"/>
    </row>
    <row r="11" spans="1:4" x14ac:dyDescent="0.2">
      <c r="A11" s="3" t="s">
        <v>17</v>
      </c>
      <c r="B11" s="3"/>
      <c r="C11" s="3"/>
      <c r="D11" s="3"/>
    </row>
    <row r="12" spans="1:4" x14ac:dyDescent="0.2">
      <c r="A12" s="7" t="s">
        <v>18</v>
      </c>
      <c r="B12" s="8">
        <v>20</v>
      </c>
      <c r="C12" s="8">
        <v>20</v>
      </c>
      <c r="D12" s="9" t="s">
        <v>19</v>
      </c>
    </row>
    <row r="13" spans="1:4" x14ac:dyDescent="0.2">
      <c r="A13" s="7" t="s">
        <v>20</v>
      </c>
      <c r="B13" s="8">
        <v>25</v>
      </c>
      <c r="C13" s="8">
        <v>25</v>
      </c>
      <c r="D13" s="9" t="s">
        <v>21</v>
      </c>
    </row>
    <row r="14" spans="1:4" x14ac:dyDescent="0.2">
      <c r="A14" s="7" t="s">
        <v>22</v>
      </c>
      <c r="B14" s="8">
        <v>0</v>
      </c>
      <c r="C14" s="8">
        <v>0</v>
      </c>
      <c r="D14" s="9" t="s">
        <v>23</v>
      </c>
    </row>
    <row r="15" spans="1:4" x14ac:dyDescent="0.2">
      <c r="A15" s="7" t="s">
        <v>24</v>
      </c>
      <c r="B15" s="8">
        <v>0</v>
      </c>
      <c r="C15" s="8">
        <v>0</v>
      </c>
      <c r="D15" s="9" t="s">
        <v>25</v>
      </c>
    </row>
    <row r="16" spans="1:4" x14ac:dyDescent="0.2">
      <c r="A16" s="7" t="s">
        <v>26</v>
      </c>
      <c r="B16" s="8">
        <v>0</v>
      </c>
      <c r="C16" s="8">
        <v>0</v>
      </c>
      <c r="D16" s="9" t="s">
        <v>27</v>
      </c>
    </row>
    <row r="17" spans="1:4" x14ac:dyDescent="0.2">
      <c r="A17" s="7" t="s">
        <v>28</v>
      </c>
      <c r="B17" s="8">
        <v>10.49</v>
      </c>
      <c r="C17" s="8">
        <v>20.98</v>
      </c>
      <c r="D17" s="9" t="s">
        <v>29</v>
      </c>
    </row>
    <row r="18" spans="1:4" x14ac:dyDescent="0.2">
      <c r="A18" s="10" t="s">
        <v>30</v>
      </c>
      <c r="B18" s="11">
        <f>SUM(B12:B17)</f>
        <v>55.49</v>
      </c>
      <c r="C18" s="11">
        <f>SUM(C12:C17)</f>
        <v>65.98</v>
      </c>
      <c r="D18" s="12"/>
    </row>
    <row r="19" spans="1:4" x14ac:dyDescent="0.2">
      <c r="A19" s="3" t="s">
        <v>31</v>
      </c>
      <c r="B19" s="3"/>
      <c r="C19" s="3"/>
      <c r="D19" s="3"/>
    </row>
    <row r="20" spans="1:4" x14ac:dyDescent="0.2">
      <c r="A20" s="7" t="s">
        <v>32</v>
      </c>
      <c r="B20" s="8">
        <v>84</v>
      </c>
      <c r="C20" s="8">
        <v>168</v>
      </c>
      <c r="D20" s="9" t="s">
        <v>33</v>
      </c>
    </row>
    <row r="21" spans="1:4" x14ac:dyDescent="0.2">
      <c r="A21" s="7" t="s">
        <v>34</v>
      </c>
      <c r="B21" s="8">
        <v>70</v>
      </c>
      <c r="C21" s="8">
        <v>140</v>
      </c>
      <c r="D21" s="9" t="s">
        <v>35</v>
      </c>
    </row>
    <row r="22" spans="1:4" x14ac:dyDescent="0.2">
      <c r="A22" s="7" t="s">
        <v>36</v>
      </c>
      <c r="B22" s="8">
        <v>84</v>
      </c>
      <c r="C22" s="8">
        <v>168</v>
      </c>
      <c r="D22" s="9" t="s">
        <v>37</v>
      </c>
    </row>
    <row r="23" spans="1:4" x14ac:dyDescent="0.2">
      <c r="A23" s="7" t="s">
        <v>38</v>
      </c>
      <c r="B23" s="8">
        <v>7.14</v>
      </c>
      <c r="C23" s="8">
        <v>14.28</v>
      </c>
      <c r="D23" s="9" t="s">
        <v>39</v>
      </c>
    </row>
    <row r="24" spans="1:4" x14ac:dyDescent="0.2">
      <c r="A24" s="13" t="s">
        <v>40</v>
      </c>
      <c r="B24" s="14">
        <f>SUM(B20:B23)</f>
        <v>245.14</v>
      </c>
      <c r="C24" s="14">
        <f>SUM(C20:C23)</f>
        <v>490.28</v>
      </c>
      <c r="D24" s="15"/>
    </row>
    <row r="25" spans="1:4" x14ac:dyDescent="0.2">
      <c r="A25" s="3" t="s">
        <v>41</v>
      </c>
      <c r="B25" s="3"/>
      <c r="C25" s="3"/>
      <c r="D25" s="3"/>
    </row>
    <row r="26" spans="1:4" x14ac:dyDescent="0.2">
      <c r="A26" s="7" t="s">
        <v>42</v>
      </c>
      <c r="B26" s="8">
        <v>0</v>
      </c>
      <c r="C26" s="8">
        <v>0</v>
      </c>
      <c r="D26" s="9" t="s">
        <v>43</v>
      </c>
    </row>
    <row r="27" spans="1:4" x14ac:dyDescent="0.2">
      <c r="A27" s="7" t="s">
        <v>44</v>
      </c>
      <c r="B27" s="8">
        <v>124.75</v>
      </c>
      <c r="C27" s="8">
        <v>249.5</v>
      </c>
      <c r="D27" s="9" t="s">
        <v>45</v>
      </c>
    </row>
    <row r="28" spans="1:4" x14ac:dyDescent="0.2">
      <c r="A28" s="7" t="s">
        <v>46</v>
      </c>
      <c r="B28" s="8">
        <v>224.85</v>
      </c>
      <c r="C28" s="8">
        <v>449.7</v>
      </c>
      <c r="D28" s="9" t="s">
        <v>47</v>
      </c>
    </row>
    <row r="29" spans="1:4" x14ac:dyDescent="0.2">
      <c r="A29" s="10" t="s">
        <v>48</v>
      </c>
      <c r="B29" s="11">
        <f>SUM(B26:B28)</f>
        <v>349.6</v>
      </c>
      <c r="C29" s="11">
        <f>SUM(C26:C28)</f>
        <v>699.2</v>
      </c>
      <c r="D29" s="12"/>
    </row>
    <row r="30" spans="1:4" x14ac:dyDescent="0.2">
      <c r="A30" s="3" t="s">
        <v>49</v>
      </c>
      <c r="B30" s="3"/>
      <c r="C30" s="3"/>
      <c r="D30" s="3"/>
    </row>
    <row r="31" spans="1:4" x14ac:dyDescent="0.2">
      <c r="A31" s="7" t="s">
        <v>50</v>
      </c>
      <c r="B31" s="16">
        <f>B29</f>
        <v>349.6</v>
      </c>
      <c r="C31" s="16">
        <f>C29</f>
        <v>699.2</v>
      </c>
      <c r="D31" s="9" t="s">
        <v>51</v>
      </c>
    </row>
    <row r="32" spans="1:4" x14ac:dyDescent="0.2">
      <c r="A32" s="7" t="s">
        <v>52</v>
      </c>
      <c r="B32" s="16">
        <f>-B18</f>
        <v>-55.49</v>
      </c>
      <c r="C32" s="16">
        <f>-C18</f>
        <v>-65.98</v>
      </c>
      <c r="D32" s="9" t="s">
        <v>53</v>
      </c>
    </row>
    <row r="33" spans="1:4" x14ac:dyDescent="0.2">
      <c r="A33" s="7" t="s">
        <v>54</v>
      </c>
      <c r="B33" s="16">
        <f>-B24</f>
        <v>-245.14</v>
      </c>
      <c r="C33" s="16">
        <f>-C24</f>
        <v>-490.28</v>
      </c>
      <c r="D33" s="9" t="s">
        <v>53</v>
      </c>
    </row>
    <row r="34" spans="1:4" x14ac:dyDescent="0.2">
      <c r="A34" s="17" t="s">
        <v>55</v>
      </c>
      <c r="B34" s="18">
        <f>SUM(B31:B33)</f>
        <v>48.970000000000027</v>
      </c>
      <c r="C34" s="18">
        <f>SUM(C31:C33)</f>
        <v>142.94000000000005</v>
      </c>
      <c r="D34" s="19" t="s">
        <v>56</v>
      </c>
    </row>
    <row r="35" spans="1:4" x14ac:dyDescent="0.2">
      <c r="A35" s="3" t="s">
        <v>57</v>
      </c>
      <c r="B35" s="3"/>
      <c r="C35" s="3"/>
      <c r="D35" s="3"/>
    </row>
    <row r="36" spans="1:4" x14ac:dyDescent="0.2">
      <c r="A36" s="7" t="s">
        <v>58</v>
      </c>
      <c r="B36" s="20">
        <f>B10</f>
        <v>724</v>
      </c>
      <c r="C36" s="20">
        <f>C10</f>
        <v>724</v>
      </c>
      <c r="D36" s="9" t="s">
        <v>59</v>
      </c>
    </row>
    <row r="37" spans="1:4" x14ac:dyDescent="0.2">
      <c r="A37" s="7" t="s">
        <v>60</v>
      </c>
      <c r="B37" s="20">
        <f>B18*6</f>
        <v>332.94</v>
      </c>
      <c r="C37" s="20">
        <f>C18*6</f>
        <v>395.88</v>
      </c>
      <c r="D37" s="9" t="s">
        <v>61</v>
      </c>
    </row>
    <row r="38" spans="1:4" x14ac:dyDescent="0.2">
      <c r="A38" s="7" t="s">
        <v>62</v>
      </c>
      <c r="B38" s="21">
        <v>0</v>
      </c>
      <c r="C38" s="21">
        <v>0</v>
      </c>
      <c r="D38" s="9" t="s">
        <v>63</v>
      </c>
    </row>
    <row r="39" spans="1:4" x14ac:dyDescent="0.2">
      <c r="A39" s="7" t="s">
        <v>64</v>
      </c>
      <c r="B39" s="20">
        <f>B24*2</f>
        <v>490.28</v>
      </c>
      <c r="C39" s="20">
        <f>C24*2</f>
        <v>980.56</v>
      </c>
      <c r="D39" s="9" t="s">
        <v>65</v>
      </c>
    </row>
    <row r="40" spans="1:4" x14ac:dyDescent="0.2">
      <c r="A40" s="7" t="s">
        <v>66</v>
      </c>
      <c r="B40" s="20">
        <f>(B10+B18*6+300+B24*2)*0.1</f>
        <v>184.72200000000001</v>
      </c>
      <c r="C40" s="20">
        <f>(C10+C18*6+300+C24*2)*0.1</f>
        <v>240.04400000000001</v>
      </c>
      <c r="D40" s="9" t="s">
        <v>67</v>
      </c>
    </row>
    <row r="41" spans="1:4" x14ac:dyDescent="0.2">
      <c r="A41" s="13" t="s">
        <v>68</v>
      </c>
      <c r="B41" s="14">
        <f>SUM(B36:B40)</f>
        <v>1731.942</v>
      </c>
      <c r="C41" s="14">
        <f>SUM(C36:C40)</f>
        <v>2340.4839999999999</v>
      </c>
      <c r="D41" s="15" t="s">
        <v>69</v>
      </c>
    </row>
    <row r="42" spans="1:4" x14ac:dyDescent="0.2">
      <c r="A42" s="7" t="s">
        <v>70</v>
      </c>
      <c r="B42" s="22">
        <f>-B29*2</f>
        <v>-699.2</v>
      </c>
      <c r="C42" s="22">
        <f>-C29*2</f>
        <v>-1398.4</v>
      </c>
      <c r="D42" s="9" t="s">
        <v>71</v>
      </c>
    </row>
    <row r="43" spans="1:4" ht="16" x14ac:dyDescent="0.2">
      <c r="A43" s="23" t="s">
        <v>72</v>
      </c>
      <c r="B43" s="24">
        <f>B41+B42</f>
        <v>1032.742</v>
      </c>
      <c r="C43" s="24">
        <f>C41+C42</f>
        <v>942.08399999999983</v>
      </c>
      <c r="D43" s="25" t="s">
        <v>73</v>
      </c>
    </row>
    <row r="45" spans="1:4" x14ac:dyDescent="0.2">
      <c r="A45" s="2" t="s">
        <v>74</v>
      </c>
      <c r="B45" s="2"/>
      <c r="C45" s="2"/>
      <c r="D45" s="2"/>
    </row>
    <row r="46" spans="1:4" x14ac:dyDescent="0.2">
      <c r="A46" s="1" t="s">
        <v>75</v>
      </c>
      <c r="B46" s="1"/>
      <c r="C46" s="1"/>
      <c r="D46" s="1"/>
    </row>
    <row r="47" spans="1:4" ht="15.75" customHeight="1" x14ac:dyDescent="0.2">
      <c r="A47" s="1" t="s">
        <v>76</v>
      </c>
      <c r="B47" s="1"/>
      <c r="C47" s="1"/>
      <c r="D47" s="1"/>
    </row>
    <row r="48" spans="1:4" ht="15.75" customHeight="1" x14ac:dyDescent="0.2">
      <c r="A48" s="1" t="s">
        <v>77</v>
      </c>
      <c r="B48" s="1"/>
      <c r="C48" s="1"/>
      <c r="D48" s="1"/>
    </row>
    <row r="49" spans="1:4" ht="15.75" customHeight="1" x14ac:dyDescent="0.2">
      <c r="A49" s="1" t="s">
        <v>78</v>
      </c>
      <c r="B49" s="1"/>
      <c r="C49" s="1"/>
      <c r="D49" s="1"/>
    </row>
    <row r="50" spans="1:4" ht="15.75" customHeight="1" x14ac:dyDescent="0.2">
      <c r="A50" s="1" t="s">
        <v>79</v>
      </c>
      <c r="B50" s="1"/>
      <c r="C50" s="1"/>
      <c r="D50" s="1"/>
    </row>
    <row r="51" spans="1:4" ht="15.75" customHeight="1" x14ac:dyDescent="0.2">
      <c r="A51" s="1" t="s">
        <v>80</v>
      </c>
      <c r="B51" s="1"/>
      <c r="C51" s="1"/>
      <c r="D51" s="1"/>
    </row>
  </sheetData>
  <mergeCells count="15">
    <mergeCell ref="A49:D49"/>
    <mergeCell ref="A50:D50"/>
    <mergeCell ref="A51:D51"/>
    <mergeCell ref="A30:D30"/>
    <mergeCell ref="A35:D35"/>
    <mergeCell ref="A45:D45"/>
    <mergeCell ref="A46:D46"/>
    <mergeCell ref="A47:D47"/>
    <mergeCell ref="A48:D48"/>
    <mergeCell ref="A1:D1"/>
    <mergeCell ref="A2:D2"/>
    <mergeCell ref="A4:D4"/>
    <mergeCell ref="A11:D11"/>
    <mergeCell ref="A19:D19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58F1-B5AF-074D-B861-303911F155AA}">
  <dimension ref="A1:D57"/>
  <sheetViews>
    <sheetView tabSelected="1" topLeftCell="A28" zoomScale="162" workbookViewId="0">
      <selection activeCell="E1" sqref="E1"/>
    </sheetView>
  </sheetViews>
  <sheetFormatPr baseColWidth="10" defaultColWidth="8.6640625" defaultRowHeight="15" x14ac:dyDescent="0.2"/>
  <cols>
    <col min="1" max="1" width="39.5" bestFit="1" customWidth="1"/>
    <col min="2" max="2" width="10.33203125" bestFit="1" customWidth="1"/>
    <col min="3" max="3" width="10.6640625" bestFit="1" customWidth="1"/>
    <col min="4" max="4" width="33.83203125" bestFit="1" customWidth="1"/>
  </cols>
  <sheetData>
    <row r="1" spans="1:4" ht="39.75" customHeight="1" x14ac:dyDescent="0.2">
      <c r="A1" s="5" t="s">
        <v>82</v>
      </c>
      <c r="B1" s="5"/>
      <c r="C1" s="5"/>
      <c r="D1" s="5"/>
    </row>
    <row r="2" spans="1:4" ht="18" customHeight="1" x14ac:dyDescent="0.2">
      <c r="A2" s="26" t="s">
        <v>117</v>
      </c>
      <c r="B2" s="26"/>
      <c r="C2" s="26"/>
      <c r="D2" s="26"/>
    </row>
    <row r="3" spans="1:4" ht="21.75" customHeight="1" x14ac:dyDescent="0.2">
      <c r="A3" s="6" t="s">
        <v>1</v>
      </c>
      <c r="B3" s="6" t="s">
        <v>2</v>
      </c>
      <c r="C3" s="6" t="s">
        <v>3</v>
      </c>
      <c r="D3" s="6" t="s">
        <v>4</v>
      </c>
    </row>
    <row r="4" spans="1:4" ht="21.75" customHeight="1" x14ac:dyDescent="0.2">
      <c r="A4" s="27" t="s">
        <v>5</v>
      </c>
      <c r="B4" s="27"/>
      <c r="C4" s="27"/>
      <c r="D4" s="27"/>
    </row>
    <row r="5" spans="1:4" ht="18" customHeight="1" x14ac:dyDescent="0.2">
      <c r="A5" s="7" t="s">
        <v>6</v>
      </c>
      <c r="B5" s="8">
        <v>500</v>
      </c>
      <c r="C5" s="8">
        <v>500</v>
      </c>
      <c r="D5" s="28" t="s">
        <v>7</v>
      </c>
    </row>
    <row r="6" spans="1:4" ht="18" customHeight="1" x14ac:dyDescent="0.2">
      <c r="A6" s="7" t="s">
        <v>8</v>
      </c>
      <c r="B6" s="8">
        <v>100</v>
      </c>
      <c r="C6" s="8">
        <v>100</v>
      </c>
      <c r="D6" s="28" t="s">
        <v>9</v>
      </c>
    </row>
    <row r="7" spans="1:4" ht="18" customHeight="1" x14ac:dyDescent="0.2">
      <c r="A7" s="7" t="s">
        <v>12</v>
      </c>
      <c r="B7" s="8">
        <v>99</v>
      </c>
      <c r="C7" s="8">
        <v>99</v>
      </c>
      <c r="D7" s="28" t="s">
        <v>13</v>
      </c>
    </row>
    <row r="8" spans="1:4" ht="18" customHeight="1" x14ac:dyDescent="0.2">
      <c r="A8" s="7" t="s">
        <v>14</v>
      </c>
      <c r="B8" s="8">
        <v>25</v>
      </c>
      <c r="C8" s="8">
        <v>25</v>
      </c>
      <c r="D8" s="28" t="s">
        <v>15</v>
      </c>
    </row>
    <row r="9" spans="1:4" ht="19.5" customHeight="1" x14ac:dyDescent="0.2">
      <c r="A9" s="10" t="s">
        <v>16</v>
      </c>
      <c r="B9" s="11">
        <f>SUM(B5:B8)</f>
        <v>724</v>
      </c>
      <c r="C9" s="11">
        <f>SUM(C5:C8)</f>
        <v>724</v>
      </c>
      <c r="D9" s="29"/>
    </row>
    <row r="10" spans="1:4" ht="21.75" customHeight="1" x14ac:dyDescent="0.2">
      <c r="A10" s="27" t="s">
        <v>83</v>
      </c>
      <c r="B10" s="27"/>
      <c r="C10" s="27"/>
      <c r="D10" s="27"/>
    </row>
    <row r="11" spans="1:4" ht="18" customHeight="1" x14ac:dyDescent="0.2">
      <c r="A11" s="7" t="s">
        <v>20</v>
      </c>
      <c r="B11" s="8">
        <v>25</v>
      </c>
      <c r="C11" s="8">
        <v>25</v>
      </c>
      <c r="D11" s="28" t="s">
        <v>84</v>
      </c>
    </row>
    <row r="12" spans="1:4" ht="18" customHeight="1" x14ac:dyDescent="0.2">
      <c r="A12" s="7" t="s">
        <v>85</v>
      </c>
      <c r="B12" s="8">
        <v>0</v>
      </c>
      <c r="C12" s="8">
        <v>0</v>
      </c>
      <c r="D12" s="28" t="s">
        <v>86</v>
      </c>
    </row>
    <row r="13" spans="1:4" ht="18" customHeight="1" x14ac:dyDescent="0.2">
      <c r="A13" s="7" t="s">
        <v>22</v>
      </c>
      <c r="B13" s="8">
        <v>0</v>
      </c>
      <c r="C13" s="8">
        <v>0</v>
      </c>
      <c r="D13" s="28" t="s">
        <v>87</v>
      </c>
    </row>
    <row r="14" spans="1:4" ht="18" customHeight="1" x14ac:dyDescent="0.2">
      <c r="A14" s="7" t="s">
        <v>24</v>
      </c>
      <c r="B14" s="8">
        <v>0</v>
      </c>
      <c r="C14" s="8">
        <v>0</v>
      </c>
      <c r="D14" s="28" t="s">
        <v>25</v>
      </c>
    </row>
    <row r="15" spans="1:4" ht="18" customHeight="1" x14ac:dyDescent="0.2">
      <c r="A15" s="7" t="s">
        <v>26</v>
      </c>
      <c r="B15" s="8">
        <v>0</v>
      </c>
      <c r="C15" s="8">
        <v>0</v>
      </c>
      <c r="D15" s="28" t="s">
        <v>88</v>
      </c>
    </row>
    <row r="16" spans="1:4" ht="18" customHeight="1" x14ac:dyDescent="0.2">
      <c r="A16" s="7" t="s">
        <v>28</v>
      </c>
      <c r="B16" s="8">
        <v>10.49</v>
      </c>
      <c r="C16" s="8">
        <v>20.98</v>
      </c>
      <c r="D16" s="28" t="s">
        <v>89</v>
      </c>
    </row>
    <row r="17" spans="1:4" ht="19.5" customHeight="1" x14ac:dyDescent="0.2">
      <c r="A17" s="10" t="s">
        <v>30</v>
      </c>
      <c r="B17" s="11">
        <f>SUM(B11:B16)</f>
        <v>35.49</v>
      </c>
      <c r="C17" s="11">
        <f>SUM(C11:C16)</f>
        <v>45.980000000000004</v>
      </c>
      <c r="D17" s="29"/>
    </row>
    <row r="18" spans="1:4" ht="21.75" customHeight="1" x14ac:dyDescent="0.2">
      <c r="A18" s="27" t="s">
        <v>31</v>
      </c>
      <c r="B18" s="27"/>
      <c r="C18" s="27"/>
      <c r="D18" s="27"/>
    </row>
    <row r="19" spans="1:4" ht="18" customHeight="1" x14ac:dyDescent="0.2">
      <c r="A19" s="7" t="s">
        <v>32</v>
      </c>
      <c r="B19" s="8">
        <v>84</v>
      </c>
      <c r="C19" s="8">
        <v>168</v>
      </c>
      <c r="D19" s="28" t="s">
        <v>33</v>
      </c>
    </row>
    <row r="20" spans="1:4" ht="18" customHeight="1" x14ac:dyDescent="0.2">
      <c r="A20" s="7" t="s">
        <v>34</v>
      </c>
      <c r="B20" s="8">
        <v>70</v>
      </c>
      <c r="C20" s="8">
        <v>140</v>
      </c>
      <c r="D20" s="28" t="s">
        <v>35</v>
      </c>
    </row>
    <row r="21" spans="1:4" ht="18" customHeight="1" x14ac:dyDescent="0.2">
      <c r="A21" s="7" t="s">
        <v>36</v>
      </c>
      <c r="B21" s="8">
        <v>84</v>
      </c>
      <c r="C21" s="8">
        <v>168</v>
      </c>
      <c r="D21" s="28" t="s">
        <v>37</v>
      </c>
    </row>
    <row r="22" spans="1:4" ht="18" customHeight="1" x14ac:dyDescent="0.2">
      <c r="A22" s="7" t="s">
        <v>38</v>
      </c>
      <c r="B22" s="8">
        <v>7.14</v>
      </c>
      <c r="C22" s="8">
        <v>14.28</v>
      </c>
      <c r="D22" s="28" t="s">
        <v>90</v>
      </c>
    </row>
    <row r="23" spans="1:4" ht="19.5" customHeight="1" x14ac:dyDescent="0.2">
      <c r="A23" s="13" t="s">
        <v>40</v>
      </c>
      <c r="B23" s="14">
        <f>SUM(B19:B22)</f>
        <v>245.14</v>
      </c>
      <c r="C23" s="14">
        <f>SUM(C19:C22)</f>
        <v>490.28</v>
      </c>
      <c r="D23" s="30"/>
    </row>
    <row r="24" spans="1:4" ht="21.75" customHeight="1" x14ac:dyDescent="0.2">
      <c r="A24" s="27" t="s">
        <v>41</v>
      </c>
      <c r="B24" s="27"/>
      <c r="C24" s="27"/>
      <c r="D24" s="27"/>
    </row>
    <row r="25" spans="1:4" ht="18" customHeight="1" x14ac:dyDescent="0.2">
      <c r="A25" s="7" t="s">
        <v>91</v>
      </c>
      <c r="B25" s="8">
        <v>0</v>
      </c>
      <c r="C25" s="8">
        <v>0</v>
      </c>
      <c r="D25" s="28" t="s">
        <v>43</v>
      </c>
    </row>
    <row r="26" spans="1:4" ht="18" customHeight="1" x14ac:dyDescent="0.2">
      <c r="A26" s="7" t="s">
        <v>92</v>
      </c>
      <c r="B26" s="8">
        <v>124.75</v>
      </c>
      <c r="C26" s="8">
        <v>249.5</v>
      </c>
      <c r="D26" s="28" t="s">
        <v>93</v>
      </c>
    </row>
    <row r="27" spans="1:4" ht="18" customHeight="1" x14ac:dyDescent="0.2">
      <c r="A27" s="7" t="s">
        <v>94</v>
      </c>
      <c r="B27" s="8">
        <v>224.85</v>
      </c>
      <c r="C27" s="8">
        <v>449.7</v>
      </c>
      <c r="D27" s="28" t="s">
        <v>95</v>
      </c>
    </row>
    <row r="28" spans="1:4" ht="19.5" customHeight="1" x14ac:dyDescent="0.2">
      <c r="A28" s="10" t="s">
        <v>48</v>
      </c>
      <c r="B28" s="11">
        <f>SUM(B25:B27)</f>
        <v>349.6</v>
      </c>
      <c r="C28" s="11">
        <f>SUM(C25:C27)</f>
        <v>699.2</v>
      </c>
      <c r="D28" s="29"/>
    </row>
    <row r="29" spans="1:4" ht="21.75" customHeight="1" x14ac:dyDescent="0.2">
      <c r="A29" s="27" t="s">
        <v>49</v>
      </c>
      <c r="B29" s="27"/>
      <c r="C29" s="27"/>
      <c r="D29" s="27"/>
    </row>
    <row r="30" spans="1:4" ht="18" customHeight="1" x14ac:dyDescent="0.2">
      <c r="A30" s="7" t="s">
        <v>50</v>
      </c>
      <c r="B30" s="16">
        <f>B28</f>
        <v>349.6</v>
      </c>
      <c r="C30" s="16">
        <f>C28</f>
        <v>699.2</v>
      </c>
      <c r="D30" s="28" t="s">
        <v>51</v>
      </c>
    </row>
    <row r="31" spans="1:4" ht="18" customHeight="1" x14ac:dyDescent="0.2">
      <c r="A31" s="7" t="s">
        <v>52</v>
      </c>
      <c r="B31" s="16">
        <f>-B17</f>
        <v>-35.49</v>
      </c>
      <c r="C31" s="16">
        <f>-C17</f>
        <v>-45.980000000000004</v>
      </c>
      <c r="D31" s="28" t="s">
        <v>53</v>
      </c>
    </row>
    <row r="32" spans="1:4" ht="18" customHeight="1" x14ac:dyDescent="0.2">
      <c r="A32" s="7" t="s">
        <v>54</v>
      </c>
      <c r="B32" s="16">
        <f>-B23</f>
        <v>-245.14</v>
      </c>
      <c r="C32" s="16">
        <f>-C23</f>
        <v>-490.28</v>
      </c>
      <c r="D32" s="28" t="s">
        <v>53</v>
      </c>
    </row>
    <row r="33" spans="1:4" ht="24" customHeight="1" x14ac:dyDescent="0.2">
      <c r="A33" s="17" t="s">
        <v>55</v>
      </c>
      <c r="B33" s="18">
        <f>SUM(B30:B32)</f>
        <v>68.970000000000027</v>
      </c>
      <c r="C33" s="18">
        <f>SUM(C30:C32)</f>
        <v>162.94000000000005</v>
      </c>
      <c r="D33" s="31" t="s">
        <v>56</v>
      </c>
    </row>
    <row r="34" spans="1:4" ht="21.75" customHeight="1" x14ac:dyDescent="0.2">
      <c r="A34" s="27" t="s">
        <v>57</v>
      </c>
      <c r="B34" s="27"/>
      <c r="C34" s="27"/>
      <c r="D34" s="27"/>
    </row>
    <row r="35" spans="1:4" ht="18" customHeight="1" x14ac:dyDescent="0.2">
      <c r="A35" s="7" t="s">
        <v>58</v>
      </c>
      <c r="B35" s="20">
        <f>B9</f>
        <v>724</v>
      </c>
      <c r="C35" s="20">
        <f>C9</f>
        <v>724</v>
      </c>
      <c r="D35" s="28" t="s">
        <v>59</v>
      </c>
    </row>
    <row r="36" spans="1:4" ht="18" customHeight="1" x14ac:dyDescent="0.2">
      <c r="A36" s="7" t="s">
        <v>60</v>
      </c>
      <c r="B36" s="20">
        <f>B17*6</f>
        <v>212.94</v>
      </c>
      <c r="C36" s="20">
        <f>C17*6</f>
        <v>275.88</v>
      </c>
      <c r="D36" s="28" t="s">
        <v>61</v>
      </c>
    </row>
    <row r="37" spans="1:4" ht="18" customHeight="1" x14ac:dyDescent="0.2">
      <c r="A37" s="7" t="s">
        <v>62</v>
      </c>
      <c r="B37" s="21">
        <v>0</v>
      </c>
      <c r="C37" s="21">
        <v>0</v>
      </c>
      <c r="D37" s="28" t="s">
        <v>96</v>
      </c>
    </row>
    <row r="38" spans="1:4" ht="18" customHeight="1" x14ac:dyDescent="0.2">
      <c r="A38" s="7" t="s">
        <v>64</v>
      </c>
      <c r="B38" s="20">
        <f>B23*2</f>
        <v>490.28</v>
      </c>
      <c r="C38" s="20">
        <f>C23*2</f>
        <v>980.56</v>
      </c>
      <c r="D38" s="28" t="s">
        <v>97</v>
      </c>
    </row>
    <row r="39" spans="1:4" ht="18" customHeight="1" x14ac:dyDescent="0.2">
      <c r="A39" s="7" t="s">
        <v>66</v>
      </c>
      <c r="B39" s="20">
        <f>(B9+B17*6+300+B23*2)*0.1</f>
        <v>172.72200000000001</v>
      </c>
      <c r="C39" s="20">
        <f>(C9+C17*6+300+C23*2)*0.1</f>
        <v>228.04400000000001</v>
      </c>
      <c r="D39" s="28" t="s">
        <v>67</v>
      </c>
    </row>
    <row r="40" spans="1:4" ht="19.5" customHeight="1" x14ac:dyDescent="0.2">
      <c r="A40" s="13" t="s">
        <v>68</v>
      </c>
      <c r="B40" s="14">
        <f>SUM(B35:B39)</f>
        <v>1599.942</v>
      </c>
      <c r="C40" s="14">
        <f>SUM(C35:C39)</f>
        <v>2208.4839999999999</v>
      </c>
      <c r="D40" s="30" t="s">
        <v>69</v>
      </c>
    </row>
    <row r="41" spans="1:4" ht="18" customHeight="1" x14ac:dyDescent="0.2">
      <c r="A41" s="7" t="s">
        <v>70</v>
      </c>
      <c r="B41" s="22">
        <f>-B28*2</f>
        <v>-699.2</v>
      </c>
      <c r="C41" s="22">
        <f>-C28*2</f>
        <v>-1398.4</v>
      </c>
      <c r="D41" s="28" t="s">
        <v>71</v>
      </c>
    </row>
    <row r="42" spans="1:4" ht="27.75" customHeight="1" x14ac:dyDescent="0.2">
      <c r="A42" s="23" t="s">
        <v>72</v>
      </c>
      <c r="B42" s="24">
        <f>B40+B41</f>
        <v>900.74199999999996</v>
      </c>
      <c r="C42" s="24">
        <f>C40+C41</f>
        <v>810.08399999999983</v>
      </c>
      <c r="D42" s="32" t="s">
        <v>98</v>
      </c>
    </row>
    <row r="44" spans="1:4" ht="21.75" customHeight="1" x14ac:dyDescent="0.2">
      <c r="A44" s="33" t="s">
        <v>99</v>
      </c>
      <c r="B44" s="33"/>
      <c r="C44" s="33"/>
      <c r="D44" s="33"/>
    </row>
    <row r="45" spans="1:4" ht="18" customHeight="1" x14ac:dyDescent="0.2">
      <c r="A45" s="7" t="s">
        <v>10</v>
      </c>
      <c r="B45" s="34" t="s">
        <v>100</v>
      </c>
      <c r="C45" s="34" t="s">
        <v>100</v>
      </c>
      <c r="D45" s="28" t="s">
        <v>101</v>
      </c>
    </row>
    <row r="46" spans="1:4" ht="18" customHeight="1" x14ac:dyDescent="0.2">
      <c r="A46" s="7" t="s">
        <v>102</v>
      </c>
      <c r="B46" s="34" t="s">
        <v>103</v>
      </c>
      <c r="C46" s="34" t="s">
        <v>103</v>
      </c>
      <c r="D46" s="28" t="s">
        <v>86</v>
      </c>
    </row>
    <row r="47" spans="1:4" ht="18" customHeight="1" x14ac:dyDescent="0.2">
      <c r="A47" s="7" t="s">
        <v>104</v>
      </c>
      <c r="B47" s="34" t="s">
        <v>105</v>
      </c>
      <c r="C47" s="34" t="s">
        <v>105</v>
      </c>
      <c r="D47" s="28" t="s">
        <v>106</v>
      </c>
    </row>
    <row r="48" spans="1:4" ht="18" customHeight="1" x14ac:dyDescent="0.2">
      <c r="A48" s="13" t="s">
        <v>107</v>
      </c>
      <c r="B48" s="35" t="s">
        <v>108</v>
      </c>
      <c r="C48" s="35" t="s">
        <v>108</v>
      </c>
      <c r="D48" s="30" t="s">
        <v>109</v>
      </c>
    </row>
    <row r="50" spans="1:4" ht="21.75" customHeight="1" x14ac:dyDescent="0.2">
      <c r="A50" s="33" t="s">
        <v>74</v>
      </c>
      <c r="B50" s="33"/>
      <c r="C50" s="33"/>
      <c r="D50" s="33"/>
    </row>
    <row r="51" spans="1:4" ht="15.75" customHeight="1" x14ac:dyDescent="0.2">
      <c r="A51" s="36" t="s">
        <v>110</v>
      </c>
      <c r="B51" s="36"/>
      <c r="C51" s="36"/>
      <c r="D51" s="36"/>
    </row>
    <row r="52" spans="1:4" ht="15.75" customHeight="1" x14ac:dyDescent="0.2">
      <c r="A52" s="36" t="s">
        <v>111</v>
      </c>
      <c r="B52" s="36"/>
      <c r="C52" s="36"/>
      <c r="D52" s="36"/>
    </row>
    <row r="53" spans="1:4" ht="15.75" customHeight="1" x14ac:dyDescent="0.2">
      <c r="A53" s="36" t="s">
        <v>112</v>
      </c>
      <c r="B53" s="36"/>
      <c r="C53" s="36"/>
      <c r="D53" s="36"/>
    </row>
    <row r="54" spans="1:4" ht="15.75" customHeight="1" x14ac:dyDescent="0.2">
      <c r="A54" s="36" t="s">
        <v>113</v>
      </c>
      <c r="B54" s="36"/>
      <c r="C54" s="36"/>
      <c r="D54" s="36"/>
    </row>
    <row r="55" spans="1:4" ht="15.75" customHeight="1" x14ac:dyDescent="0.2">
      <c r="A55" s="36" t="s">
        <v>114</v>
      </c>
      <c r="B55" s="36"/>
      <c r="C55" s="36"/>
      <c r="D55" s="36"/>
    </row>
    <row r="56" spans="1:4" ht="15.75" customHeight="1" x14ac:dyDescent="0.2">
      <c r="A56" s="36" t="s">
        <v>115</v>
      </c>
      <c r="B56" s="36"/>
      <c r="C56" s="36"/>
      <c r="D56" s="36"/>
    </row>
    <row r="57" spans="1:4" ht="15.75" customHeight="1" x14ac:dyDescent="0.2">
      <c r="A57" s="36" t="s">
        <v>116</v>
      </c>
      <c r="B57" s="36"/>
      <c r="C57" s="36"/>
      <c r="D57" s="36"/>
    </row>
  </sheetData>
  <mergeCells count="17">
    <mergeCell ref="A53:D53"/>
    <mergeCell ref="A54:D54"/>
    <mergeCell ref="A55:D55"/>
    <mergeCell ref="A56:D56"/>
    <mergeCell ref="A57:D57"/>
    <mergeCell ref="A29:D29"/>
    <mergeCell ref="A34:D34"/>
    <mergeCell ref="A44:D44"/>
    <mergeCell ref="A50:D50"/>
    <mergeCell ref="A51:D51"/>
    <mergeCell ref="A52:D52"/>
    <mergeCell ref="A1:D1"/>
    <mergeCell ref="A2:D2"/>
    <mergeCell ref="A4:D4"/>
    <mergeCell ref="A10:D10"/>
    <mergeCell ref="A18:D18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Sheet1</vt:lpstr>
      <vt:lpstr>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Sahil Inamdar</cp:lastModifiedBy>
  <cp:revision>0</cp:revision>
  <dcterms:created xsi:type="dcterms:W3CDTF">2026-03-26T23:44:40Z</dcterms:created>
  <dcterms:modified xsi:type="dcterms:W3CDTF">2026-03-27T02:17:39Z</dcterms:modified>
  <dc:language>en-US</dc:language>
</cp:coreProperties>
</file>